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Dados" sheetId="2" state="visible" r:id="rId2"/>
    <sheet name="Confer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Consolas"/>
      <color rgb="006E7873"/>
      <sz val="9"/>
    </font>
    <font>
      <name val="Arial"/>
      <color rgb="000000FF"/>
      <sz val="10"/>
    </font>
    <font>
      <name val="Arial"/>
      <b val="1"/>
      <color rgb="002E4C46"/>
      <sz val="9"/>
    </font>
    <font>
      <name val="Arial"/>
      <b val="1"/>
      <color rgb="002E4C46"/>
      <sz val="15"/>
    </font>
    <font>
      <name val="Arial"/>
      <color rgb="006E7873"/>
      <sz val="10"/>
    </font>
    <font>
      <name val="Arial"/>
      <color rgb="001E2A26"/>
      <sz val="10"/>
    </font>
    <font>
      <name val="Arial"/>
      <b val="1"/>
      <color rgb="001E2A26"/>
      <sz val="10"/>
    </font>
    <font>
      <name val="Arial"/>
      <b val="1"/>
      <color rgb="0000694A"/>
      <sz val="11"/>
    </font>
  </fonts>
  <fills count="6">
    <fill>
      <patternFill/>
    </fill>
    <fill>
      <patternFill patternType="gray125"/>
    </fill>
    <fill>
      <patternFill patternType="solid">
        <fgColor rgb="0000694A"/>
      </patternFill>
    </fill>
    <fill>
      <patternFill patternType="solid">
        <fgColor rgb="00EDEFEA"/>
      </patternFill>
    </fill>
    <fill>
      <patternFill patternType="solid">
        <fgColor rgb="00FAF4D0"/>
      </patternFill>
    </fill>
    <fill>
      <patternFill patternType="solid">
        <fgColor rgb="00E4F0EA"/>
      </patternFill>
    </fill>
  </fills>
  <borders count="2">
    <border>
      <left/>
      <right/>
      <top/>
      <bottom/>
      <diagonal/>
    </border>
    <border>
      <left style="thin">
        <color rgb="00CBD2CA"/>
      </left>
      <right style="thin">
        <color rgb="00CBD2CA"/>
      </right>
      <top style="thin">
        <color rgb="00CBD2CA"/>
      </top>
      <bottom style="thin">
        <color rgb="00CBD2C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pivotButton="0" quotePrefix="0" xfId="0"/>
    <xf numFmtId="0" fontId="7" fillId="0" borderId="1" applyAlignment="1" pivotButton="0" quotePrefix="0" xfId="0">
      <alignment vertical="top" wrapText="1"/>
    </xf>
    <xf numFmtId="0" fontId="8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2" customWidth="1" min="3" max="3"/>
  </cols>
  <sheetData>
    <row r="2">
      <c r="B2" s="1" t="inlineStr">
        <is>
          <t>Painel de movimentações — atualização semanal</t>
        </is>
      </c>
    </row>
    <row r="3">
      <c r="B3" s="2" t="inlineStr">
        <is>
          <t>Da planilha à pasta de rede em cinco passos, sem instalar nada.</t>
        </is>
      </c>
    </row>
    <row r="5">
      <c r="B5" s="3" t="inlineStr">
        <is>
          <t>Rotina da semana</t>
        </is>
      </c>
    </row>
    <row r="6" ht="42" customHeight="1">
      <c r="B6" s="4" t="inlineStr">
        <is>
          <t>1. Atualizar</t>
        </is>
      </c>
      <c r="C6" s="5" t="inlineStr">
        <is>
          <t>Na aba Dados, troque os valores das células amarelas. As células cinza da primeira coluna são chaves que o painel usa para se localizar — não mexa nelas, nem nos marcadores #META, #KPI e afins, nem nos nomes das colunas.</t>
        </is>
      </c>
    </row>
    <row r="7" ht="28" customHeight="1">
      <c r="B7" s="4" t="inlineStr">
        <is>
          <t>2. Conferir</t>
        </is>
      </c>
      <c r="C7" s="5" t="inlineStr">
        <is>
          <t>Vá à aba Conferência. Ela recalcula sozinha ao abrir e acusa toda soma que não fecha. Resolva os OLHAR antes de seguir.</t>
        </is>
      </c>
    </row>
    <row r="8" ht="14" customHeight="1">
      <c r="B8" s="4" t="inlineStr">
        <is>
          <t>3. Copiar</t>
        </is>
      </c>
      <c r="C8" s="5" t="inlineStr">
        <is>
          <t>Volte à aba Dados, Ctrl+A e Ctrl+C.</t>
        </is>
      </c>
    </row>
    <row r="9" ht="28" customHeight="1">
      <c r="B9" s="4" t="inlineStr">
        <is>
          <t>4. Colar no painel</t>
        </is>
      </c>
      <c r="C9" s="5" t="inlineStr">
        <is>
          <t>Abra painel/movimentacoes.html, clique em Atualizar dados, cole na caixa e clique em Aplicar. A tela se redesenha na hora.</t>
        </is>
      </c>
    </row>
    <row r="10" ht="42" customHeight="1">
      <c r="B10" s="4" t="inlineStr">
        <is>
          <t>5. Publicar</t>
        </is>
      </c>
      <c r="C10" s="5" t="inlineStr">
        <is>
          <t>Revise os textos direto na tela (o insight e as duas notas são editáveis), clique em Salvar semana e coloque o arquivo gerado na pasta de rede. Cada semana vira um arquivo próprio — vale como registro do que foi apresentado e comentado.</t>
        </is>
      </c>
    </row>
    <row r="11">
      <c r="B11" s="3" t="inlineStr">
        <is>
          <t>Como preencher os campos</t>
        </is>
      </c>
    </row>
    <row r="12" ht="14" customHeight="1">
      <c r="B12" s="4" t="inlineStr">
        <is>
          <t>Negrito nos textos</t>
        </is>
      </c>
      <c r="C12" s="5" t="inlineStr">
        <is>
          <t>Escreva **assim** para deixar em negrito no painel. Vale no insight e nas duas notas.</t>
        </is>
      </c>
    </row>
    <row r="13" ht="28" customHeight="1">
      <c r="B13" s="4" t="inlineStr">
        <is>
          <t>Célula em branco</t>
        </is>
      </c>
      <c r="C13" s="5" t="inlineStr">
        <is>
          <t>Deixe vazia quando o dado não existir. A tela mostra “sem dado” em cinza e conta no selo do topo. Nunca preencha com zero para tapar buraco: zero é uma afirmação, vazio é a verdade.</t>
        </is>
      </c>
    </row>
    <row r="14" ht="42" customHeight="1">
      <c r="B14" s="4" t="inlineStr">
        <is>
          <t>direcao</t>
        </is>
      </c>
      <c r="C14" s="5" t="inlineStr">
        <is>
          <t>menor = quanto menor melhor (rotatividade). maior = quanto maior melhor (treinamento). Vazio = não sabemos o que é melhorar; o cartão fica cinza e as setas não julgam. É o caso de Admitidos enquanto a regra não estiver definida.</t>
        </is>
      </c>
    </row>
    <row r="15" ht="42" customHeight="1">
      <c r="B15" s="4" t="inlineStr">
        <is>
          <t>estado</t>
        </is>
      </c>
      <c r="C15" s="5" t="inlineStr">
        <is>
          <t>auto deixa o painel calcular o farol: conta quantas comparações disponíveis estão piores. Nenhuma pior = verde; até metade = amarelo; mais da metade = vermelho. Para sobrepor, escreva bom, atencao, critico ou nd.</t>
        </is>
      </c>
    </row>
    <row r="16" ht="28" customHeight="1">
      <c r="B16" s="4" t="inlineStr">
        <is>
          <t>taxa e qtd</t>
        </is>
      </c>
      <c r="C16" s="5" t="inlineStr">
        <is>
          <t>taxa é o percentual sobre o headcount; qtd é o número de pessoas. Os dois aparecem lado a lado no cartão.</t>
        </is>
      </c>
    </row>
    <row r="17" ht="28" customHeight="1">
      <c r="B17" s="4" t="inlineStr">
        <is>
          <t>SERIE</t>
        </is>
      </c>
      <c r="C17" s="5" t="inlineStr">
        <is>
          <t>Uma linha por indicador, um mês por coluna, na ordem. Meses ainda não fechados ficam em branco — a linha de tendência simplesmente para ali.</t>
        </is>
      </c>
    </row>
    <row r="18" ht="42" customHeight="1">
      <c r="B18" s="4" t="inlineStr">
        <is>
          <t>MOTIVOS</t>
        </is>
      </c>
      <c r="C18" s="5" t="inlineStr">
        <is>
          <t>O painel mostra os três primeiros de cada família. Separe voluntário de involuntário: “por que nos deixam” e “por que desligamos” são conversas diferentes. O percentual de cada motivo é calculado sobre o total de desligamentos daquele tipo (vem do bloco KPI), não sobre a soma dos três.</t>
        </is>
      </c>
    </row>
    <row r="19" ht="28" customHeight="1">
      <c r="B19" s="4" t="inlineStr">
        <is>
          <t>DIRETORIAS</t>
        </is>
      </c>
      <c r="C19" s="5" t="inlineStr">
        <is>
          <t>taxa e indice ficam em branco enquanto não houver headcount por diretoria. Sem eles o ranking é de tamanho, não de risco — a tela avisa isso sozinha.</t>
        </is>
      </c>
    </row>
    <row r="20">
      <c r="B20" s="3" t="inlineStr">
        <is>
          <t>A logo</t>
        </is>
      </c>
    </row>
    <row r="21" ht="42" customHeight="1">
      <c r="B21" s="4" t="inlineStr">
        <is>
          <t>Trocar a logo</t>
        </is>
      </c>
      <c r="C21" s="5" t="inlineStr">
        <is>
          <t>No painel, botão Trocar logo, escolha o arquivo (PNG, JPG ou SVG). Ela é embutida no HTML, então continua aparecendo mesmo com o arquivo fora da rede. Depois use Salvar semana para gravar o painel já com a logo.</t>
        </is>
      </c>
    </row>
    <row r="22">
      <c r="B22" s="3" t="inlineStr">
        <is>
          <t>Publicação</t>
        </is>
      </c>
    </row>
    <row r="23" ht="28" customHeight="1">
      <c r="B23" s="4" t="inlineStr">
        <is>
          <t>Pasta de rede</t>
        </is>
      </c>
      <c r="C23" s="5" t="inlineStr">
        <is>
          <t>O arquivo é autossuficiente: não busca nada na internet, não usa fonte externa, não faz chamada de rede. Abre por duplo clique ou por caminho de rede.</t>
        </is>
      </c>
    </row>
    <row r="24" ht="28" customHeight="1">
      <c r="B24" s="4" t="inlineStr">
        <is>
          <t>Para o PPT</t>
        </is>
      </c>
      <c r="C24" s="5" t="inlineStr">
        <is>
          <t>A tela é 16:9. Dê um print da área do painel e cole no slide — encaixa sem sobra. Ou use Imprimir / PDF, que já sai em paisagem só com o painel.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16" customWidth="1" min="8" max="8"/>
    <col width="12" customWidth="1" min="9" max="9"/>
    <col width="14" customWidth="1" min="10" max="10"/>
    <col width="14" customWidth="1" min="11" max="11"/>
    <col width="12" customWidth="1" min="12" max="12"/>
    <col width="10" customWidth="1" min="13" max="13"/>
    <col width="10" customWidth="1" min="14" max="14"/>
    <col width="10" customWidth="1" min="15" max="15"/>
  </cols>
  <sheetData>
    <row r="1">
      <c r="A1" s="6" t="inlineStr">
        <is>
          <t>#META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</row>
    <row r="2">
      <c r="A2" s="8" t="inlineStr">
        <is>
          <t>titulo</t>
        </is>
      </c>
      <c r="B2" s="9" t="inlineStr">
        <is>
          <t>Movimentações</t>
        </is>
      </c>
    </row>
    <row r="3">
      <c r="A3" s="8" t="inlineStr">
        <is>
          <t>periodo</t>
        </is>
      </c>
      <c r="B3" s="9" t="inlineStr">
        <is>
          <t>Julho 2026</t>
        </is>
      </c>
    </row>
    <row r="4">
      <c r="A4" s="8" t="inlineStr">
        <is>
          <t>semana</t>
        </is>
      </c>
      <c r="B4" s="9" t="n">
        <v>30</v>
      </c>
    </row>
    <row r="5">
      <c r="A5" s="8" t="inlineStr">
        <is>
          <t>recorte</t>
        </is>
      </c>
      <c r="B5" s="9" t="inlineStr">
        <is>
          <t>Consolidado — todas as empresas</t>
        </is>
      </c>
    </row>
    <row r="6">
      <c r="A6" s="8" t="inlineStr">
        <is>
          <t>janela</t>
        </is>
      </c>
      <c r="B6" s="9" t="inlineStr">
        <is>
          <t>Mês (MTD)</t>
        </is>
      </c>
    </row>
    <row r="7">
      <c r="A7" s="8" t="inlineStr">
        <is>
          <t>regua</t>
        </is>
      </c>
      <c r="B7" s="9" t="inlineStr">
        <is>
          <t>MTD com 4 de 4,4 semanas</t>
        </is>
      </c>
    </row>
    <row r="8"/>
    <row r="9">
      <c r="A9" s="6" t="inlineStr">
        <is>
          <t>#KPI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</row>
    <row r="10">
      <c r="A10" s="10" t="inlineStr">
        <is>
          <t>id</t>
        </is>
      </c>
      <c r="B10" s="10" t="inlineStr">
        <is>
          <t>titulo</t>
        </is>
      </c>
      <c r="C10" s="10" t="inlineStr">
        <is>
          <t>taxa</t>
        </is>
      </c>
      <c r="D10" s="10" t="inlineStr">
        <is>
          <t>qtd</t>
        </is>
      </c>
      <c r="E10" s="10" t="inlineStr">
        <is>
          <t>unidade</t>
        </is>
      </c>
      <c r="F10" s="10" t="inlineStr">
        <is>
          <t>sem_qtd</t>
        </is>
      </c>
      <c r="G10" s="10" t="inlineStr">
        <is>
          <t>sem_taxa</t>
        </is>
      </c>
      <c r="H10" s="10" t="inlineStr">
        <is>
          <t>mes_ant_rotulo</t>
        </is>
      </c>
      <c r="I10" s="10" t="inlineStr">
        <is>
          <t>mes_ant</t>
        </is>
      </c>
      <c r="J10" s="10" t="inlineStr">
        <is>
          <t>media_atual</t>
        </is>
      </c>
      <c r="K10" s="10" t="inlineStr">
        <is>
          <t>media_ant</t>
        </is>
      </c>
      <c r="L10" s="10" t="inlineStr">
        <is>
          <t>direcao</t>
        </is>
      </c>
      <c r="M10" s="10" t="inlineStr">
        <is>
          <t>estado</t>
        </is>
      </c>
    </row>
    <row r="11">
      <c r="A11" s="8" t="inlineStr">
        <is>
          <t>turnover</t>
        </is>
      </c>
      <c r="B11" s="9" t="inlineStr">
        <is>
          <t>Turnover geral</t>
        </is>
      </c>
      <c r="C11" s="9" t="n">
        <v>1.7</v>
      </c>
      <c r="D11" s="9" t="n">
        <v>91</v>
      </c>
      <c r="E11" s="9" t="inlineStr">
        <is>
          <t>saídas</t>
        </is>
      </c>
      <c r="F11" s="9" t="n">
        <v>19</v>
      </c>
      <c r="G11" s="9" t="n">
        <v>0.36</v>
      </c>
      <c r="H11" s="9" t="inlineStr">
        <is>
          <t>Junho</t>
        </is>
      </c>
      <c r="I11" s="9" t="n">
        <v>123</v>
      </c>
      <c r="J11" s="9" t="n">
        <v>119</v>
      </c>
      <c r="K11" s="9" t="n">
        <v>105</v>
      </c>
      <c r="L11" s="9" t="inlineStr">
        <is>
          <t>menor</t>
        </is>
      </c>
      <c r="M11" s="9" t="inlineStr">
        <is>
          <t>auto</t>
        </is>
      </c>
    </row>
    <row r="12">
      <c r="A12" s="8" t="inlineStr">
        <is>
          <t>voluntario</t>
        </is>
      </c>
      <c r="B12" s="9" t="inlineStr">
        <is>
          <t>Voluntários</t>
        </is>
      </c>
      <c r="C12" s="9" t="n">
        <v>0.92</v>
      </c>
      <c r="D12" s="9" t="n">
        <v>49</v>
      </c>
      <c r="E12" s="9" t="inlineStr">
        <is>
          <t>saídas</t>
        </is>
      </c>
      <c r="F12" s="9" t="n">
        <v>7</v>
      </c>
      <c r="G12" s="9" t="n">
        <v>0.13</v>
      </c>
      <c r="H12" s="9" t="inlineStr">
        <is>
          <t>Junho</t>
        </is>
      </c>
      <c r="I12" s="9" t="n">
        <v>78</v>
      </c>
      <c r="J12" s="9" t="n">
        <v>75.3</v>
      </c>
      <c r="K12" s="9" t="n">
        <v>74.59999999999999</v>
      </c>
      <c r="L12" s="9" t="inlineStr">
        <is>
          <t>menor</t>
        </is>
      </c>
      <c r="M12" s="9" t="inlineStr">
        <is>
          <t>auto</t>
        </is>
      </c>
    </row>
    <row r="13">
      <c r="A13" s="8" t="inlineStr">
        <is>
          <t>involuntario</t>
        </is>
      </c>
      <c r="B13" s="9" t="inlineStr">
        <is>
          <t>Involuntários</t>
        </is>
      </c>
      <c r="C13" s="9" t="n">
        <v>0.79</v>
      </c>
      <c r="D13" s="9" t="n">
        <v>42</v>
      </c>
      <c r="E13" s="9" t="inlineStr">
        <is>
          <t>saídas</t>
        </is>
      </c>
      <c r="F13" s="9" t="n">
        <v>12</v>
      </c>
      <c r="G13" s="9" t="n">
        <v>0.22</v>
      </c>
      <c r="H13" s="9" t="inlineStr">
        <is>
          <t>Junho</t>
        </is>
      </c>
      <c r="I13" s="9" t="n">
        <v>45</v>
      </c>
      <c r="J13" s="9" t="n">
        <v>43.5</v>
      </c>
      <c r="K13" s="9" t="n">
        <v>32.7</v>
      </c>
      <c r="L13" s="9" t="inlineStr">
        <is>
          <t>menor</t>
        </is>
      </c>
      <c r="M13" s="9" t="inlineStr">
        <is>
          <t>auto</t>
        </is>
      </c>
    </row>
    <row r="14">
      <c r="A14" s="8" t="inlineStr">
        <is>
          <t>admitidos</t>
        </is>
      </c>
      <c r="B14" s="9" t="inlineStr">
        <is>
          <t>Admitidos</t>
        </is>
      </c>
      <c r="C14" s="9" t="n">
        <v>1.46</v>
      </c>
      <c r="D14" s="9" t="n">
        <v>78</v>
      </c>
      <c r="E14" s="9" t="inlineStr">
        <is>
          <t>entradas</t>
        </is>
      </c>
      <c r="F14" s="9" t="n"/>
      <c r="G14" s="9" t="n"/>
      <c r="H14" s="9" t="inlineStr">
        <is>
          <t>Junho</t>
        </is>
      </c>
      <c r="I14" s="9" t="n">
        <v>85</v>
      </c>
      <c r="J14" s="9" t="n"/>
      <c r="K14" s="9" t="n"/>
      <c r="L14" s="9" t="inlineStr"/>
      <c r="M14" s="9" t="inlineStr">
        <is>
          <t>auto</t>
        </is>
      </c>
    </row>
    <row r="15"/>
    <row r="16">
      <c r="A16" s="6" t="inlineStr">
        <is>
          <t>#SERIE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</row>
    <row r="17">
      <c r="A17" s="10" t="inlineStr">
        <is>
          <t>id</t>
        </is>
      </c>
      <c r="B17" s="10" t="inlineStr">
        <is>
          <t>jan</t>
        </is>
      </c>
      <c r="C17" s="10" t="inlineStr">
        <is>
          <t>fev</t>
        </is>
      </c>
      <c r="D17" s="10" t="inlineStr">
        <is>
          <t>mar</t>
        </is>
      </c>
      <c r="E17" s="10" t="inlineStr">
        <is>
          <t>abr</t>
        </is>
      </c>
      <c r="F17" s="10" t="inlineStr">
        <is>
          <t>mai</t>
        </is>
      </c>
      <c r="G17" s="10" t="inlineStr">
        <is>
          <t>jun</t>
        </is>
      </c>
      <c r="H17" s="10" t="inlineStr">
        <is>
          <t>jul</t>
        </is>
      </c>
      <c r="I17" s="10" t="inlineStr">
        <is>
          <t>ago</t>
        </is>
      </c>
      <c r="J17" s="10" t="inlineStr">
        <is>
          <t>set</t>
        </is>
      </c>
      <c r="K17" s="10" t="inlineStr">
        <is>
          <t>out</t>
        </is>
      </c>
      <c r="L17" s="10" t="inlineStr">
        <is>
          <t>nov</t>
        </is>
      </c>
      <c r="M17" s="10" t="inlineStr">
        <is>
          <t>dez</t>
        </is>
      </c>
    </row>
    <row r="18">
      <c r="A18" s="8" t="inlineStr">
        <is>
          <t>turnover</t>
        </is>
      </c>
      <c r="B18" s="9" t="n">
        <v>93</v>
      </c>
      <c r="C18" s="9" t="n">
        <v>147</v>
      </c>
      <c r="D18" s="9" t="n">
        <v>116</v>
      </c>
      <c r="E18" s="9" t="n">
        <v>119</v>
      </c>
      <c r="F18" s="9" t="n">
        <v>115</v>
      </c>
      <c r="G18" s="9" t="n">
        <v>123</v>
      </c>
      <c r="H18" s="9" t="n">
        <v>91</v>
      </c>
    </row>
    <row r="19">
      <c r="A19" s="8" t="inlineStr">
        <is>
          <t>voluntario</t>
        </is>
      </c>
      <c r="B19" s="9" t="n">
        <v>69</v>
      </c>
      <c r="C19" s="9" t="n">
        <v>63</v>
      </c>
      <c r="D19" s="9" t="n">
        <v>82</v>
      </c>
      <c r="E19" s="9" t="n">
        <v>82</v>
      </c>
      <c r="F19" s="9" t="n">
        <v>78</v>
      </c>
      <c r="G19" s="9" t="n">
        <v>78</v>
      </c>
      <c r="H19" s="9" t="n">
        <v>49</v>
      </c>
    </row>
    <row r="20">
      <c r="A20" s="8" t="inlineStr">
        <is>
          <t>involuntario</t>
        </is>
      </c>
      <c r="B20" s="9" t="n">
        <v>24</v>
      </c>
      <c r="C20" s="9" t="n">
        <v>84</v>
      </c>
      <c r="D20" s="9" t="n">
        <v>34</v>
      </c>
      <c r="E20" s="9" t="n">
        <v>37</v>
      </c>
      <c r="F20" s="9" t="n">
        <v>37</v>
      </c>
      <c r="G20" s="9" t="n">
        <v>45</v>
      </c>
      <c r="H20" s="9" t="n">
        <v>42</v>
      </c>
    </row>
    <row r="21">
      <c r="A21" s="8" t="inlineStr">
        <is>
          <t>admitidos</t>
        </is>
      </c>
    </row>
    <row r="22"/>
    <row r="23">
      <c r="A23" s="6" t="inlineStr">
        <is>
          <t>#PERFIL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</row>
    <row r="24">
      <c r="A24" s="10" t="inlineStr">
        <is>
          <t>id</t>
        </is>
      </c>
      <c r="B24" s="10" t="inlineStr">
        <is>
          <t>titulo</t>
        </is>
      </c>
      <c r="C24" s="10" t="inlineStr">
        <is>
          <t>valor</t>
        </is>
      </c>
      <c r="D24" s="10" t="inlineStr">
        <is>
          <t>pct</t>
        </is>
      </c>
      <c r="E24" s="10" t="inlineStr">
        <is>
          <t>pct_rotulo</t>
        </is>
      </c>
      <c r="F24" s="10" t="inlineStr">
        <is>
          <t>incidencia_rotulo</t>
        </is>
      </c>
      <c r="G24" s="10" t="inlineStr">
        <is>
          <t>incidencia</t>
        </is>
      </c>
      <c r="H24" s="10" t="inlineStr">
        <is>
          <t>mes_ant_rotulo</t>
        </is>
      </c>
      <c r="I24" s="10" t="inlineStr">
        <is>
          <t>mes_ant</t>
        </is>
      </c>
      <c r="J24" s="10" t="inlineStr">
        <is>
          <t>media_atual</t>
        </is>
      </c>
      <c r="K24" s="10" t="inlineStr">
        <is>
          <t>media_ant</t>
        </is>
      </c>
      <c r="L24" s="10" t="inlineStr">
        <is>
          <t>direcao</t>
        </is>
      </c>
      <c r="M24" s="10" t="inlineStr">
        <is>
          <t>estado</t>
        </is>
      </c>
    </row>
    <row r="25">
      <c r="A25" s="8" t="inlineStr">
        <is>
          <t>lideres</t>
        </is>
      </c>
      <c r="B25" s="9" t="inlineStr">
        <is>
          <t>Líderes desligados</t>
        </is>
      </c>
      <c r="C25" s="9" t="n">
        <v>9</v>
      </c>
      <c r="D25" s="9" t="n">
        <v>9.9</v>
      </c>
      <c r="E25" s="9" t="inlineStr">
        <is>
          <t>das saídas</t>
        </is>
      </c>
      <c r="F25" s="9" t="inlineStr">
        <is>
          <t>Taxa sobre líderes</t>
        </is>
      </c>
      <c r="G25" s="9" t="n"/>
      <c r="H25" s="9" t="inlineStr">
        <is>
          <t>Junho</t>
        </is>
      </c>
      <c r="I25" s="9" t="n">
        <v>4</v>
      </c>
      <c r="J25" s="9" t="n"/>
      <c r="K25" s="9" t="n"/>
      <c r="L25" s="9" t="inlineStr">
        <is>
          <t>menor</t>
        </is>
      </c>
      <c r="M25" s="9" t="inlineStr">
        <is>
          <t>auto</t>
        </is>
      </c>
    </row>
    <row r="26">
      <c r="A26" s="8" t="inlineStr">
        <is>
          <t>ate1ano</t>
        </is>
      </c>
      <c r="B26" s="9" t="inlineStr">
        <is>
          <t>Até 1 ano</t>
        </is>
      </c>
      <c r="C26" s="9" t="n">
        <v>32</v>
      </c>
      <c r="D26" s="9" t="n">
        <v>35.2</v>
      </c>
      <c r="E26" s="9" t="inlineStr">
        <is>
          <t>das saídas</t>
        </is>
      </c>
      <c r="F26" s="9" t="inlineStr">
        <is>
          <t>Taxa de incidência</t>
        </is>
      </c>
      <c r="G26" s="9" t="n"/>
      <c r="H26" s="9" t="inlineStr">
        <is>
          <t>Junho</t>
        </is>
      </c>
      <c r="I26" s="9" t="n"/>
      <c r="J26" s="9" t="n"/>
      <c r="K26" s="9" t="n"/>
      <c r="L26" s="9" t="inlineStr">
        <is>
          <t>menor</t>
        </is>
      </c>
      <c r="M26" s="9" t="inlineStr">
        <is>
          <t>auto</t>
        </is>
      </c>
    </row>
    <row r="27"/>
    <row r="28">
      <c r="A28" s="6" t="inlineStr">
        <is>
          <t>#MOTIVOS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</row>
    <row r="29">
      <c r="A29" s="10" t="inlineStr">
        <is>
          <t>familia</t>
        </is>
      </c>
      <c r="B29" s="10" t="inlineStr">
        <is>
          <t>motivo</t>
        </is>
      </c>
      <c r="C29" s="10" t="inlineStr">
        <is>
          <t>qtd</t>
        </is>
      </c>
    </row>
    <row r="30">
      <c r="A30" s="9" t="inlineStr">
        <is>
          <t>Voluntário</t>
        </is>
      </c>
      <c r="B30" s="9" t="inlineStr">
        <is>
          <t>Particular</t>
        </is>
      </c>
      <c r="C30" s="9" t="n">
        <v>40</v>
      </c>
    </row>
    <row r="31">
      <c r="A31" s="9" t="inlineStr">
        <is>
          <t>Voluntário</t>
        </is>
      </c>
      <c r="B31" s="9" t="inlineStr">
        <is>
          <t>Proposta externa</t>
        </is>
      </c>
      <c r="C31" s="9" t="n">
        <v>4</v>
      </c>
    </row>
    <row r="32">
      <c r="A32" s="9" t="inlineStr">
        <is>
          <t>Voluntário</t>
        </is>
      </c>
      <c r="B32" s="9" t="inlineStr">
        <is>
          <t>Mudança de cidade</t>
        </is>
      </c>
      <c r="C32" s="9" t="n">
        <v>2</v>
      </c>
    </row>
    <row r="33">
      <c r="A33" s="9" t="inlineStr">
        <is>
          <t>Involuntário</t>
        </is>
      </c>
      <c r="B33" s="9" t="inlineStr">
        <is>
          <t>Performance</t>
        </is>
      </c>
      <c r="C33" s="9" t="n">
        <v>16</v>
      </c>
    </row>
    <row r="34">
      <c r="A34" s="9" t="inlineStr">
        <is>
          <t>Involuntário</t>
        </is>
      </c>
      <c r="B34" s="9" t="inlineStr">
        <is>
          <t>Cultura organizacional</t>
        </is>
      </c>
      <c r="C34" s="9" t="n">
        <v>7</v>
      </c>
    </row>
    <row r="35">
      <c r="A35" s="9" t="inlineStr">
        <is>
          <t>Involuntário</t>
        </is>
      </c>
      <c r="B35" s="9" t="inlineStr">
        <is>
          <t>Redução de quadro</t>
        </is>
      </c>
      <c r="C35" s="9" t="n">
        <v>7</v>
      </c>
    </row>
    <row r="36"/>
    <row r="37">
      <c r="A37" s="6" t="inlineStr">
        <is>
          <t>#DIRETORIAS</t>
        </is>
      </c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</row>
    <row r="38">
      <c r="A38" s="10" t="inlineStr">
        <is>
          <t>sigla</t>
        </is>
      </c>
      <c r="B38" s="10" t="inlineStr">
        <is>
          <t>vol</t>
        </is>
      </c>
      <c r="C38" s="10" t="inlineStr">
        <is>
          <t>inv</t>
        </is>
      </c>
      <c r="D38" s="10" t="inlineStr">
        <is>
          <t>total</t>
        </is>
      </c>
      <c r="E38" s="10" t="inlineStr">
        <is>
          <t>pct</t>
        </is>
      </c>
      <c r="F38" s="10" t="inlineStr">
        <is>
          <t>taxa</t>
        </is>
      </c>
      <c r="G38" s="10" t="inlineStr">
        <is>
          <t>indice</t>
        </is>
      </c>
    </row>
    <row r="39">
      <c r="A39" s="9" t="inlineStr">
        <is>
          <t>FLO</t>
        </is>
      </c>
      <c r="B39" s="9" t="n">
        <v>32</v>
      </c>
      <c r="C39" s="9" t="n">
        <v>29</v>
      </c>
      <c r="D39" s="9" t="n">
        <v>61</v>
      </c>
      <c r="E39" s="9" t="n">
        <v>67</v>
      </c>
      <c r="F39" s="9" t="n"/>
      <c r="G39" s="9" t="n"/>
    </row>
    <row r="40">
      <c r="A40" s="9" t="inlineStr">
        <is>
          <t>IND</t>
        </is>
      </c>
      <c r="B40" s="9" t="n">
        <v>6</v>
      </c>
      <c r="C40" s="9" t="n">
        <v>6</v>
      </c>
      <c r="D40" s="9" t="n">
        <v>12</v>
      </c>
      <c r="E40" s="9" t="n">
        <v>13.2</v>
      </c>
      <c r="F40" s="9" t="n"/>
      <c r="G40" s="9" t="n"/>
    </row>
    <row r="41">
      <c r="A41" s="9" t="inlineStr">
        <is>
          <t>TRP</t>
        </is>
      </c>
      <c r="B41" s="9" t="n">
        <v>6</v>
      </c>
      <c r="C41" s="9" t="n">
        <v>1</v>
      </c>
      <c r="D41" s="9" t="n">
        <v>7</v>
      </c>
      <c r="E41" s="9" t="n">
        <v>7.7</v>
      </c>
      <c r="F41" s="9" t="n"/>
      <c r="G41" s="9" t="n"/>
    </row>
    <row r="42"/>
    <row r="43">
      <c r="A43" s="6" t="inlineStr">
        <is>
          <t>#TEXTO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</row>
    <row r="44">
      <c r="A44" s="8" t="inlineStr">
        <is>
          <t>insight</t>
        </is>
      </c>
      <c r="B44" s="9" t="inlineStr">
        <is>
          <t>**Julho:** volume desacelera 26% vs junho, puxado pelo voluntário (−37%). **Atenção no involuntário** — igual à média de 2026, mas **+28% acima da média de 2025**. **Alerta nos líderes:** 9 saídas contra 4 em junho.</t>
        </is>
      </c>
    </row>
    <row r="45">
      <c r="A45" s="8" t="inlineStr">
        <is>
          <t>nota_motivos</t>
        </is>
      </c>
      <c r="B45" s="9" t="inlineStr">
        <is>
          <t>**“Particular” = 82% dos pedidos de demissão.** O motivo mais frequente é “não sabemos”: achado de codificação, não de visualização.</t>
        </is>
      </c>
    </row>
    <row r="46">
      <c r="A46" s="8" t="inlineStr">
        <is>
          <t>nota_diretorias</t>
        </is>
      </c>
      <c r="B46" s="9" t="inlineStr">
        <is>
          <t>**Ranking de tamanho, não de risco.** Falta headcount por diretoria para calcular taxa e índice de sobre-representação.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14" customWidth="1" min="3" max="3"/>
    <col width="14" customWidth="1" min="4" max="4"/>
    <col width="40" customWidth="1" min="5" max="5"/>
  </cols>
  <sheetData>
    <row r="2">
      <c r="B2" s="1" t="inlineStr">
        <is>
          <t>Conferência automática</t>
        </is>
      </c>
    </row>
    <row r="3">
      <c r="B3" s="2" t="inlineStr">
        <is>
          <t>Calcula ao abrir no Excel. Resolva os OLHAR antes de colar no painel.</t>
        </is>
      </c>
    </row>
    <row r="4">
      <c r="B4" s="11" t="inlineStr">
        <is>
          <t>Verificação</t>
        </is>
      </c>
      <c r="C4" s="11" t="inlineStr">
        <is>
          <t>Calculado</t>
        </is>
      </c>
      <c r="D4" s="11" t="inlineStr">
        <is>
          <t>Esperado</t>
        </is>
      </c>
      <c r="E4" s="11" t="inlineStr">
        <is>
          <t>Situação</t>
        </is>
      </c>
    </row>
    <row r="5">
      <c r="B5" s="12" t="inlineStr">
        <is>
          <t>Voluntários + Involuntários = Turnover (mês)</t>
        </is>
      </c>
      <c r="C5" s="13">
        <f>'Dados'!D12+'Dados'!D13</f>
        <v/>
      </c>
      <c r="D5" s="13">
        <f>'Dados'!D11</f>
        <v/>
      </c>
      <c r="E5" s="12">
        <f>IF(C5=D5,"OK","OLHAR: diferença de "&amp;TEXT(C5-D5,"0.##"))</f>
        <v/>
      </c>
    </row>
    <row r="6">
      <c r="B6" s="12" t="inlineStr">
        <is>
          <t>Voluntários + Involuntários = Turnover (semana)</t>
        </is>
      </c>
      <c r="C6" s="13">
        <f>'Dados'!F12+'Dados'!F13</f>
        <v/>
      </c>
      <c r="D6" s="13">
        <f>'Dados'!F11</f>
        <v/>
      </c>
      <c r="E6" s="12">
        <f>IF(C6=D6,"OK","OLHAR: diferença de "&amp;TEXT(C6-D6,"0.##"))</f>
        <v/>
      </c>
    </row>
    <row r="7">
      <c r="B7" s="12" t="inlineStr">
        <is>
          <t>Soma dos motivos voluntários = desligados voluntários</t>
        </is>
      </c>
      <c r="C7" s="13">
        <f>SUMIFS('Dados'!C:C,'Dados'!A:A,"Voluntário")</f>
        <v/>
      </c>
      <c r="D7" s="13">
        <f>'Dados'!D12</f>
        <v/>
      </c>
      <c r="E7" s="12">
        <f>IF(C7=D7,"OK","OLHAR: diferença de "&amp;TEXT(C7-D7,"0.##"))</f>
        <v/>
      </c>
    </row>
    <row r="8">
      <c r="B8" s="12" t="inlineStr">
        <is>
          <t>Soma dos motivos involuntários = desligados involuntários</t>
        </is>
      </c>
      <c r="C8" s="13">
        <f>SUMIFS('Dados'!C:C,'Dados'!A:A,"Involuntário")</f>
        <v/>
      </c>
      <c r="D8" s="13">
        <f>'Dados'!D13</f>
        <v/>
      </c>
      <c r="E8" s="12">
        <f>IF(C8=D8,"OK","OLHAR: diferença de "&amp;TEXT(C8-D8,"0.##"))</f>
        <v/>
      </c>
    </row>
    <row r="9">
      <c r="B9" s="12" t="inlineStr">
        <is>
          <t>Soma das diretorias (top 3) &lt;= turnover do mês</t>
        </is>
      </c>
      <c r="C9" s="13">
        <f>SUM('Dados'!D39:D41)</f>
        <v/>
      </c>
      <c r="D9" s="13">
        <f>'Dados'!D11</f>
        <v/>
      </c>
      <c r="E9" s="12">
        <f>IF(C9=D9,"OK","OLHAR: diferença de "&amp;TEXT(C9-D9,"0.##"))</f>
        <v/>
      </c>
    </row>
    <row r="10">
      <c r="B10" s="12" t="inlineStr">
        <is>
          <t>Soma da série mensal do turnover (só para conferir com o seu YTD)</t>
        </is>
      </c>
      <c r="C10" s="13">
        <f>SUM('Dados'!B18:M18)</f>
        <v/>
      </c>
      <c r="D10" s="14" t="n"/>
      <c r="E10" s="12" t="inlineStr">
        <is>
          <t>Compare com o YTD do seu relatório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2026-07-27T20:14:36Z</dcterms:created>
  <dcterms:modified xsi:type="dcterms:W3CDTF">2026-07-27T20:14:36Z</dcterms:modified>
</cp:coreProperties>
</file>